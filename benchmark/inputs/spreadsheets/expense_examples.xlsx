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b59b83c55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国内出張" sheetId="1" r:id="Rd8831a3e92344b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color rgb="FF243B36"/>
      <x:name val="Yu Gothic"/>
    </x:font>
    <x:font>
      <x:b/>
      <x:sz val="16"/>
      <x:color rgb="FFFFFFFF"/>
      <x:name val="Yu Gothic"/>
    </x:font>
    <x:font>
      <x:b/>
      <x:sz val="11"/>
      <x:color rgb="FF243B36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43F35"/>
      </x:patternFill>
    </x:fill>
    <x:fill>
      <x:patternFill patternType="solid">
        <x:fgColor rgb="FFE0EEE8"/>
      </x:patternFill>
    </x:fill>
  </x:fills>
  <x:borders count="2">
    <x:border>
      <x:left/>
      <x:right/>
      <x:top/>
      <x:bottom/>
      <x:diagonal/>
    </x:border>
    <x:border>
      <x:left style="thin">
        <x:color rgb="FFD6E3DC"/>
      </x:left>
      <x:right style="thin">
        <x:color rgb="FFD6E3DC"/>
      </x:right>
      <x:top style="thin">
        <x:color rgb="FFD6E3DC"/>
      </x:top>
      <x:bottom style="thin">
        <x:color rgb="FFD6E3DC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2b5fbf1b14fbf" /><Relationship Type="http://schemas.openxmlformats.org/officeDocument/2006/relationships/theme" Target="/xl/theme/theme1.xml" Id="R6b81c271021a416b" /><Relationship Type="http://schemas.openxmlformats.org/officeDocument/2006/relationships/sharedStrings" Target="/xl/sharedStrings.xml" Id="R5a423d2c2dd24efc" /><Relationship Type="http://schemas.openxmlformats.org/officeDocument/2006/relationships/worksheet" Target="/xl/worksheets/sheet1.xml" Id="Rd8831a3e92344b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.630000114440918" hidden="0" customWidth="1"/>
    <x:col min="2" max="2" width="8.75" hidden="0" customWidth="1"/>
    <x:col min="3" max="3" width="7.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7.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6" customHeight="1">
      <x:c r="A1" s="7" t="str">
        <x:v>国内出張の申請例 | 円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28" customHeight="1">
      <x:c r="A2" s="8" t="str">
        <x:v>宿泊上限</x:v>
      </x:c>
      <x:c r="B2" s="8" t="n">
        <x:v>12000</x:v>
      </x:c>
      <x:c r="C2" s="8"/>
      <x:c r="D2" s="8" t="str">
        <x:v>日当単価</x:v>
      </x:c>
      <x:c r="E2" s="8" t="n">
        <x:v>2000</x:v>
      </x:c>
      <x:c r="F2" s="8"/>
      <x:c r="G2" s="8"/>
      <x:c r="H2" s="8"/>
      <x:c r="I2" s="8"/>
      <x:c r="J2" s="8"/>
      <x:c r="K2" s="8"/>
      <x:c r="L2" s="8"/>
    </x:row>
    <x:row r="3" ht="28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 ht="32" customHeight="1">
      <x:c r="A4" s="9" t="str">
        <x:v>申請ID</x:v>
      </x:c>
      <x:c r="B4" s="9" t="str">
        <x:v>社員</x:v>
      </x:c>
      <x:c r="C4" s="9" t="str">
        <x:v>泊数</x:v>
      </x:c>
      <x:c r="D4" s="9" t="str">
        <x:v>宿泊単価</x:v>
      </x:c>
      <x:c r="E4" s="9" t="str">
        <x:v>実宿泊額</x:v>
      </x:c>
      <x:c r="F4" s="9" t="str">
        <x:v>上限額</x:v>
      </x:c>
      <x:c r="G4" s="9" t="str">
        <x:v>超過額</x:v>
      </x:c>
      <x:c r="H4" s="9" t="str">
        <x:v>日数</x:v>
      </x:c>
      <x:c r="I4" s="9" t="str">
        <x:v>日当</x:v>
      </x:c>
      <x:c r="J4" s="9" t="str">
        <x:v>交通費</x:v>
      </x:c>
      <x:c r="K4" s="9" t="str">
        <x:v>申請額合計</x:v>
      </x:c>
      <x:c r="L4" s="9" t="str">
        <x:v>承認状態</x:v>
      </x:c>
    </x:row>
    <x:row r="5" ht="28" customHeight="1">
      <x:c r="A5" s="10" t="str">
        <x:v>EXP-101</x:v>
      </x:c>
      <x:c r="B5" s="10" t="str">
        <x:v>茶木</x:v>
      </x:c>
      <x:c r="C5" s="10" t="n">
        <x:v>2</x:v>
      </x:c>
      <x:c r="D5" s="11" t="n">
        <x:v>11000</x:v>
      </x:c>
      <x:c r="E5" s="11" t="n">
        <x:f>C5*D5</x:f>
        <x:v>22000</x:v>
      </x:c>
      <x:c r="F5" s="11" t="n">
        <x:f>C5*$B$2</x:f>
        <x:v>24000</x:v>
      </x:c>
      <x:c r="G5" s="11" t="n">
        <x:f>MAX(0,E5-F5)</x:f>
        <x:v>0</x:v>
      </x:c>
      <x:c r="H5" s="10" t="n">
        <x:v>3</x:v>
      </x:c>
      <x:c r="I5" s="11" t="n">
        <x:f>H5*$E$2</x:f>
        <x:v>6000</x:v>
      </x:c>
      <x:c r="J5" s="11" t="n">
        <x:v>8600</x:v>
      </x:c>
      <x:c r="K5" s="11" t="n">
        <x:f>SUM(E5,I5,J5)</x:f>
        <x:v>36600</x:v>
      </x:c>
      <x:c r="L5" s="10" t="str">
        <x:v>承認済</x:v>
      </x:c>
    </x:row>
    <x:row r="6" ht="28" customHeight="1">
      <x:c r="A6" s="10" t="str">
        <x:v>EXP-102</x:v>
      </x:c>
      <x:c r="B6" s="10" t="str">
        <x:v>虎井</x:v>
      </x:c>
      <x:c r="C6" s="10" t="n">
        <x:v>1</x:v>
      </x:c>
      <x:c r="D6" s="11" t="n">
        <x:v>14500</x:v>
      </x:c>
      <x:c r="E6" s="11" t="n">
        <x:f>C6*D6</x:f>
        <x:v>14500</x:v>
      </x:c>
      <x:c r="F6" s="11" t="n">
        <x:f>C6*$B$2</x:f>
        <x:v>12000</x:v>
      </x:c>
      <x:c r="G6" s="11" t="n">
        <x:f>MAX(0,E6-F6)</x:f>
        <x:v>2500</x:v>
      </x:c>
      <x:c r="H6" s="10" t="n">
        <x:v>2</x:v>
      </x:c>
      <x:c r="I6" s="11" t="n">
        <x:f>H6*$E$2</x:f>
        <x:v>4000</x:v>
      </x:c>
      <x:c r="J6" s="11" t="n">
        <x:v>4200</x:v>
      </x:c>
      <x:c r="K6" s="11" t="n">
        <x:f>SUM(E6,I6,J6)</x:f>
        <x:v>22700</x:v>
      </x:c>
      <x:c r="L6" s="10" t="str">
        <x:v>未承認</x:v>
      </x:c>
    </x:row>
    <x:row r="7" ht="28" customHeight="1">
      <x:c r="A7" s="10" t="str">
        <x:v>EXP-103</x:v>
      </x:c>
      <x:c r="B7" s="10" t="str">
        <x:v>白井</x:v>
      </x:c>
      <x:c r="C7" s="10" t="n">
        <x:v>0</x:v>
      </x:c>
      <x:c r="D7" s="11" t="n">
        <x:v>0</x:v>
      </x:c>
      <x:c r="E7" s="11" t="n">
        <x:f>C7*D7</x:f>
        <x:v>0</x:v>
      </x:c>
      <x:c r="F7" s="11" t="n">
        <x:f>C7*$B$2</x:f>
        <x:v>0</x:v>
      </x:c>
      <x:c r="G7" s="11" t="n">
        <x:f>MAX(0,E7-F7)</x:f>
        <x:v>0</x:v>
      </x:c>
      <x:c r="H7" s="10" t="n">
        <x:v>1</x:v>
      </x:c>
      <x:c r="I7" s="11" t="n">
        <x:f>H7*$E$2</x:f>
        <x:v>2000</x:v>
      </x:c>
      <x:c r="J7" s="11" t="n">
        <x:v>1980</x:v>
      </x:c>
      <x:c r="K7" s="11" t="n">
        <x:f>SUM(E7,I7,J7)</x:f>
        <x:v>3980</x:v>
      </x:c>
      <x:c r="L7" s="10" t="str">
        <x:v>承認済</x:v>
      </x:c>
    </x:row>
    <x:row r="8" ht="28" customHeight="1">
      <x:c r="A8" s="10"/>
      <x:c r="B8" s="10"/>
      <x:c r="C8" s="10"/>
      <x:c r="D8" s="11"/>
      <x:c r="E8" s="11"/>
      <x:c r="F8" s="11"/>
      <x:c r="G8" s="11"/>
      <x:c r="H8" s="10"/>
      <x:c r="I8" s="11"/>
      <x:c r="J8" s="11"/>
      <x:c r="K8" s="11"/>
      <x:c r="L8" s="10"/>
    </x:row>
    <x:row r="9" ht="28" customHeight="1">
      <x:c r="A9" s="10" t="str">
        <x:v>全申請額（未承認も含む。支払済み額ではない）</x:v>
      </x:c>
      <x:c r="B9" s="10"/>
      <x:c r="C9" s="10"/>
      <x:c r="D9" s="11"/>
      <x:c r="E9" s="11"/>
      <x:c r="F9" s="11"/>
      <x:c r="G9" s="11"/>
      <x:c r="H9" s="10"/>
      <x:c r="I9" s="11"/>
      <x:c r="J9" s="11"/>
      <x:c r="K9" s="11" t="n">
        <x:f>SUM(K5:K7)</x:f>
        <x:v>63280</x:v>
      </x:c>
      <x:c r="L9" s="10"/>
    </x:row>
    <x:row r="10" ht="28" customHeight="1">
      <x:c r="A10" s="10" t="str">
        <x:v>承認済み申請額のみ</x:v>
      </x:c>
      <x:c r="B10" s="10"/>
      <x:c r="C10" s="10"/>
      <x:c r="D10" s="11"/>
      <x:c r="E10" s="11"/>
      <x:c r="F10" s="11"/>
      <x:c r="G10" s="11"/>
      <x:c r="H10" s="10"/>
      <x:c r="I10" s="11"/>
      <x:c r="J10" s="11"/>
      <x:c r="K10" s="11" t="n">
        <x:f>SUMIF(L5:L7,"承認済",K5:K7)</x:f>
        <x:v>40580</x:v>
      </x:c>
      <x:c r="L10" s="10"/>
    </x:row>
    <x:row r="11" ht="2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</x:row>
    <x:row r="12" ht="28" customHeight="1">
      <x:c r="A12" s="10" t="str">
        <x:v>X-EXP | 全て架空。上限超過分は事前承認が必要。申請額合計は実額を示す。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</x:row>
  </x:sheetData>
  <x:mergeCells>
    <x:mergeCell ref="A1:L1"/>
    <x:mergeCell ref="A9:J9"/>
    <x:mergeCell ref="A10:J10"/>
    <x:mergeCell ref="A12:L12"/>
  </x:mergeCells>
  <x:pageMargins left="0.7" right="0.7" top="0.75" bottom="0.75" header="0.3" footer="0.3"/>
</x:worksheet>
</file>